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fba0bfaaf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이전 견적" sheetId="1" r:id="Re203bfeb0fad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&quot;원&quot;"/>
  </x:numFmts>
  <x:fonts count="7">
    <x:font>
      <x:sz val="11"/>
      <x:name val="Carlito"/>
    </x:font>
    <x:font>
      <x:sz val="11"/>
      <x:name val="Noto Sans KR"/>
    </x:font>
    <x:font>
      <x:b/>
      <x:sz val="17"/>
      <x:color rgb="FF234C68"/>
      <x:name val="Noto Sans KR"/>
    </x:font>
    <x:font>
      <x:sz val="10"/>
      <x:color rgb="FF657380"/>
      <x:name val="Noto Sans KR"/>
    </x:font>
    <x:font>
      <x:b/>
      <x:sz val="11"/>
      <x:color rgb="FFFFFFFF"/>
      <x:name val="Noto Sans KR"/>
    </x:font>
    <x:font>
      <x:b/>
      <x:sz val="13"/>
      <x:color rgb="FF173D57"/>
      <x:name val="Noto Sans KR"/>
    </x:font>
    <x:font>
      <x:sz val="9"/>
      <x:color rgb="FF7D8790"/>
      <x:name val="Noto Sans KR"/>
    </x:font>
  </x:fonts>
  <x:fills count="5">
    <x:fill>
      <x:patternFill patternType="none"/>
    </x:fill>
    <x:fill>
      <x:patternFill patternType="gray125"/>
    </x:fill>
    <x:fill>
      <x:patternFill patternType="solid">
        <x:fgColor rgb="FF234C68"/>
      </x:patternFill>
    </x:fill>
    <x:fill>
      <x:patternFill patternType="solid">
        <x:fgColor rgb="FFF1F5F8"/>
      </x:patternFill>
    </x:fill>
    <x:fill>
      <x:patternFill patternType="solid">
        <x:fgColor rgb="FFDCE9F0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60c0dbe2d4b9e" /><Relationship Type="http://schemas.openxmlformats.org/officeDocument/2006/relationships/theme" Target="/xl/theme/theme1.xml" Id="Rdcab6eae3af344f2" /><Relationship Type="http://schemas.openxmlformats.org/officeDocument/2006/relationships/sharedStrings" Target="/xl/sharedStrings.xml" Id="R2e2c68763be7439d" /><Relationship Type="http://schemas.openxmlformats.org/officeDocument/2006/relationships/worksheet" Target="/xl/worksheets/sheet1.xml" Id="Re203bfeb0fad45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440000057220459" hidden="0" customWidth="1"/>
    <x:col min="2" max="2" width="32.220001220703125" hidden="0" customWidth="1"/>
    <x:col min="3" max="3" width="7.21999979019165" hidden="0" customWidth="1"/>
    <x:col min="4" max="4" width="6.670000076293945" hidden="0" customWidth="1"/>
    <x:col min="5" max="5" width="13.329999923706055" hidden="0" customWidth="1"/>
    <x:col min="6" max="6" width="15.5600004196167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2"/>
      <x:c r="B2" s="3" t="str">
        <x:v>사무실 이전 견적서</x:v>
      </x:c>
      <x:c r="C2" s="2"/>
      <x:c r="D2" s="2"/>
      <x:c r="E2" s="2"/>
      <x:c r="F2" s="2"/>
    </x:row>
    <x:row r="3" ht="26" customHeight="1">
      <x:c r="A3" s="2"/>
      <x:c r="B3" s="2"/>
      <x:c r="C3" s="2"/>
      <x:c r="D3" s="2"/>
      <x:c r="E3" s="2"/>
      <x:c r="F3" s="2"/>
    </x:row>
    <x:row r="4" ht="26" customHeight="1">
      <x:c r="A4" s="2"/>
      <x:c r="B4" s="2" t="str">
        <x:v>바른이전 서비스</x:v>
      </x:c>
      <x:c r="C4" s="2"/>
      <x:c r="D4" s="2"/>
      <x:c r="E4" s="2" t="str">
        <x:v>문서번호</x:v>
      </x:c>
      <x:c r="F4" s="2" t="str">
        <x:v>BR-240823-V3</x:v>
      </x:c>
    </x:row>
    <x:row r="5" ht="26" customHeight="1">
      <x:c r="A5" s="2"/>
      <x:c r="B5" s="2" t="str">
        <x:v>수신: 경영지원팀</x:v>
      </x:c>
      <x:c r="C5" s="2"/>
      <x:c r="D5" s="2"/>
      <x:c r="E5" s="2" t="str">
        <x:v>견적일</x:v>
      </x:c>
      <x:c r="F5" s="4" t="n">
        <x:v>45527</x:v>
      </x:c>
    </x:row>
    <x:row r="6" ht="26" customHeight="1">
      <x:c r="A6" s="2"/>
      <x:c r="B6" s="2"/>
      <x:c r="C6" s="2"/>
      <x:c r="D6" s="2"/>
      <x:c r="E6" s="2"/>
      <x:c r="F6" s="2"/>
    </x:row>
    <x:row r="7" ht="26" customHeight="1">
      <x:c r="A7" s="2"/>
      <x:c r="B7" s="2" t="str">
        <x:v>40석 사무실 이전 / 약 150㎡</x:v>
      </x:c>
      <x:c r="C7" s="2"/>
      <x:c r="D7" s="2"/>
      <x:c r="E7" s="2"/>
      <x:c r="F7" s="2"/>
    </x:row>
    <x:row r="8" ht="26" customHeight="1">
      <x:c r="A8" s="2"/>
      <x:c r="B8" s="5" t="str">
        <x:v>모든 단가와 금액은 부가세 포함입니다.</x:v>
      </x:c>
      <x:c r="C8" s="2"/>
      <x:c r="D8" s="2"/>
      <x:c r="E8" s="2"/>
      <x:c r="F8" s="2"/>
    </x:row>
    <x:row r="9" ht="26" customHeight="1">
      <x:c r="A9" s="2"/>
      <x:c r="B9" s="2"/>
      <x:c r="C9" s="2"/>
      <x:c r="D9" s="2"/>
      <x:c r="E9" s="2"/>
      <x:c r="F9" s="2"/>
    </x:row>
    <x:row r="10" ht="34" customHeight="1">
      <x:c r="A10" s="8" t="str">
        <x:v>No.</x:v>
      </x:c>
      <x:c r="B10" s="8" t="str">
        <x:v>작업 항목</x:v>
      </x:c>
      <x:c r="C10" s="8" t="str">
        <x:v>수량</x:v>
      </x:c>
      <x:c r="D10" s="8" t="str">
        <x:v>단위</x:v>
      </x:c>
      <x:c r="E10" s="8" t="str">
        <x:v>단가 (원)</x:v>
      </x:c>
      <x:c r="F10" s="8" t="str">
        <x:v>금액 (원)</x:v>
      </x:c>
    </x:row>
    <x:row r="11" ht="40" customHeight="1">
      <x:c r="A11" s="9" t="n">
        <x:v>1</x:v>
      </x:c>
      <x:c r="B11" s="9" t="str">
        <x:v>포장 및 분류 작업</x:v>
      </x:c>
      <x:c r="C11" s="10" t="n">
        <x:v>40</x:v>
      </x:c>
      <x:c r="D11" s="9" t="str">
        <x:v>좌석</x:v>
      </x:c>
      <x:c r="E11" s="10" t="n">
        <x:v>60000</x:v>
      </x:c>
      <x:c r="F11" s="10" t="n">
        <x:f>C11*E11</x:f>
        <x:v>2400000</x:v>
      </x:c>
    </x:row>
    <x:row r="12" ht="40" customHeight="1">
      <x:c r="A12" s="2" t="n">
        <x:v>2</x:v>
      </x:c>
      <x:c r="B12" s="2" t="str">
        <x:v>화물 운송 (차량·인력 포함)</x:v>
      </x:c>
      <x:c r="C12" s="6" t="n">
        <x:v>3</x:v>
      </x:c>
      <x:c r="D12" s="2" t="str">
        <x:v>대</x:v>
      </x:c>
      <x:c r="E12" s="6" t="n">
        <x:v>1500000</x:v>
      </x:c>
      <x:c r="F12" s="6" t="n">
        <x:f>C12*E12</x:f>
        <x:v>4500000</x:v>
      </x:c>
    </x:row>
    <x:row r="13" ht="40" customHeight="1">
      <x:c r="A13" s="9" t="n">
        <x:v>3</x:v>
      </x:c>
      <x:c r="B13" s="9" t="str">
        <x:v>사무가구 분해 및 조립</x:v>
      </x:c>
      <x:c r="C13" s="10" t="n">
        <x:v>40</x:v>
      </x:c>
      <x:c r="D13" s="9" t="str">
        <x:v>세트</x:v>
      </x:c>
      <x:c r="E13" s="10" t="n">
        <x:v>50000</x:v>
      </x:c>
      <x:c r="F13" s="10" t="n">
        <x:f>C13*E13</x:f>
        <x:v>2000000</x:v>
      </x:c>
    </x:row>
    <x:row r="14" ht="40" customHeight="1">
      <x:c r="A14" s="2" t="n">
        <x:v>4</x:v>
      </x:c>
      <x:c r="B14" s="2" t="str">
        <x:v>PC·네트워크 이전 설치</x:v>
      </x:c>
      <x:c r="C14" s="6" t="n">
        <x:v>40</x:v>
      </x:c>
      <x:c r="D14" s="2" t="str">
        <x:v>좌석</x:v>
      </x:c>
      <x:c r="E14" s="6" t="n">
        <x:v>45000</x:v>
      </x:c>
      <x:c r="F14" s="6" t="n">
        <x:f>C14*E14</x:f>
        <x:v>1800000</x:v>
      </x:c>
    </x:row>
    <x:row r="15" ht="40" customHeight="1">
      <x:c r="A15" s="9" t="n">
        <x:v>5</x:v>
      </x:c>
      <x:c r="B15" s="9" t="str">
        <x:v>불용 집기 반출 및 처리</x:v>
      </x:c>
      <x:c r="C15" s="10" t="n">
        <x:v>2</x:v>
      </x:c>
      <x:c r="D15" s="9" t="str">
        <x:v>회</x:v>
      </x:c>
      <x:c r="E15" s="10" t="n">
        <x:v>400000</x:v>
      </x:c>
      <x:c r="F15" s="10" t="n">
        <x:f>C15*E15</x:f>
        <x:v>800000</x:v>
      </x:c>
    </x:row>
    <x:row r="16" ht="40" customHeight="1">
      <x:c r="A16" s="2" t="n">
        <x:v>6</x:v>
      </x:c>
      <x:c r="B16" s="2" t="str">
        <x:v>이전 작업 보험</x:v>
      </x:c>
      <x:c r="C16" s="6" t="n">
        <x:v>1</x:v>
      </x:c>
      <x:c r="D16" s="2" t="str">
        <x:v>식</x:v>
      </x:c>
      <x:c r="E16" s="6" t="n">
        <x:v>300000</x:v>
      </x:c>
      <x:c r="F16" s="6" t="n">
        <x:f>C16*E16</x:f>
        <x:v>300000</x:v>
      </x:c>
    </x:row>
    <x:row r="17" ht="40" customHeight="1">
      <x:c r="A17" s="9" t="n">
        <x:v>7</x:v>
      </x:c>
      <x:c r="B17" s="9" t="str">
        <x:v>이전 후 정리 및 청소</x:v>
      </x:c>
      <x:c r="C17" s="10" t="n">
        <x:v>150</x:v>
      </x:c>
      <x:c r="D17" s="9" t="str">
        <x:v>㎡</x:v>
      </x:c>
      <x:c r="E17" s="10" t="n">
        <x:v>6000</x:v>
      </x:c>
      <x:c r="F17" s="10" t="n">
        <x:f>C17*E17</x:f>
        <x:v>900000</x:v>
      </x:c>
    </x:row>
    <x:row r="18" ht="26" customHeight="1">
      <x:c r="A18" s="2"/>
      <x:c r="B18" s="2"/>
      <x:c r="C18" s="2"/>
      <x:c r="D18" s="2"/>
      <x:c r="E18" s="6"/>
      <x:c r="F18" s="6"/>
    </x:row>
    <x:row r="19" ht="26" customHeight="1">
      <x:c r="A19" s="2"/>
      <x:c r="B19" s="2"/>
      <x:c r="C19" s="2"/>
      <x:c r="D19" s="2"/>
      <x:c r="E19" s="6"/>
      <x:c r="F19" s="6"/>
    </x:row>
    <x:row r="20" ht="44" customHeight="1">
      <x:c r="A20" s="15"/>
      <x:c r="B20" s="15" t="str">
        <x:v>최종 합계 (부가세 포함)</x:v>
      </x:c>
      <x:c r="C20" s="15"/>
      <x:c r="D20" s="15"/>
      <x:c r="E20" s="16"/>
      <x:c r="F20" s="17" t="n">
        <x:f>SUM(F11:F17)</x:f>
        <x:v>12700000</x:v>
      </x:c>
    </x:row>
    <x:row r="21" ht="26" customHeight="1">
      <x:c r="A21" s="2"/>
      <x:c r="B21" s="2"/>
      <x:c r="C21" s="2"/>
      <x:c r="D21" s="2"/>
      <x:c r="E21" s="2"/>
      <x:c r="F21" s="2"/>
    </x:row>
    <x:row r="22" ht="26" customHeight="1">
      <x:c r="A22" s="2"/>
      <x:c r="B22" s="2"/>
      <x:c r="C22" s="2"/>
      <x:c r="D22" s="2"/>
      <x:c r="E22" s="2"/>
      <x:c r="F22" s="2"/>
    </x:row>
    <x:row r="23" ht="26" customHeight="1">
      <x:c r="A23" s="2"/>
      <x:c r="B23" s="2" t="str">
        <x:v>작업 예정일: 2024년 9월 7일 (토)</x:v>
      </x:c>
      <x:c r="C23" s="2"/>
      <x:c r="D23" s="2"/>
      <x:c r="E23" s="2"/>
      <x:c r="F23" s="2"/>
    </x:row>
    <x:row r="24" ht="26" customHeight="1">
      <x:c r="A24" s="2"/>
      <x:c r="B24" s="2" t="str">
        <x:v>이전 범위: 서울 내 사무실 간 이전</x:v>
      </x:c>
      <x:c r="C24" s="2"/>
      <x:c r="D24" s="2"/>
      <x:c r="E24" s="2"/>
      <x:c r="F24" s="2"/>
    </x:row>
    <x:row r="25" ht="26" customHeight="1">
      <x:c r="A25" s="2"/>
      <x:c r="B25" s="2" t="str">
        <x:v>결제 조건: 계약금 30%, 작업 완료 후 잔금 70%</x:v>
      </x:c>
      <x:c r="C25" s="2"/>
      <x:c r="D25" s="2"/>
      <x:c r="E25" s="2"/>
      <x:c r="F25" s="2"/>
    </x:row>
    <x:row r="26" ht="26" customHeight="1">
      <x:c r="A26" s="2"/>
      <x:c r="B26" s="2" t="str">
        <x:v>견적 유효기간: 발행일로부터 30일</x:v>
      </x:c>
      <x:c r="C26" s="2"/>
      <x:c r="D26" s="2"/>
      <x:c r="E26" s="2"/>
      <x:c r="F26" s="2"/>
    </x:row>
    <x:row r="27" ht="26" customHeight="1">
      <x:c r="A27" s="2"/>
      <x:c r="B27" s="2"/>
      <x:c r="C27" s="2"/>
      <x:c r="D27" s="2"/>
      <x:c r="E27" s="2"/>
      <x:c r="F27" s="2"/>
    </x:row>
    <x:row r="28" ht="26" customHeight="1">
      <x:c r="A28" s="2"/>
      <x:c r="B28" s="2" t="str">
        <x:v>추가 인원·물량 및 야간 작업은 별도 협의합니다.</x:v>
      </x:c>
      <x:c r="C28" s="2"/>
      <x:c r="D28" s="2"/>
      <x:c r="E28" s="2"/>
      <x:c r="F28" s="2"/>
    </x:row>
    <x:row r="29" ht="26" customHeight="1">
      <x:c r="A29" s="2"/>
      <x:c r="B29" s="2"/>
      <x:c r="C29" s="2"/>
      <x:c r="D29" s="2"/>
      <x:c r="E29" s="2"/>
      <x:c r="F29" s="2"/>
    </x:row>
    <x:row r="30" ht="26" customHeight="1">
      <x:c r="A30" s="2"/>
      <x:c r="B30" s="18" t="str">
        <x:v>PoC용 가상 문서 · 업체 및 거래 내용은 예시입니다.</x:v>
      </x:c>
      <x:c r="C30" s="2"/>
      <x:c r="D30" s="2"/>
      <x:c r="E30" s="2"/>
      <x:c r="F30" s="2"/>
    </x:row>
    <x:row r="31" ht="26" customHeight="1">
      <x:c r="A31" s="2"/>
      <x:c r="B31" s="2"/>
      <x:c r="C31" s="2"/>
      <x:c r="D31" s="2"/>
      <x:c r="E31" s="2"/>
      <x:c r="F31" s="2"/>
    </x:row>
    <x:row r="32" ht="26" customHeight="1">
      <x:c r="A32" s="2"/>
      <x:c r="B32" s="2"/>
      <x:c r="C32" s="2"/>
      <x:c r="D32" s="2"/>
      <x:c r="E32" s="2"/>
      <x:c r="F32" s="2"/>
    </x:row>
  </x:sheetData>
  <x:pageMargins left="0.7" right="0.7" top="0.75" bottom="0.75" header="0.3" footer="0.3"/>
</x:worksheet>
</file>